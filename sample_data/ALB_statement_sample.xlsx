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R-FINANCE\Desktop\"/>
    </mc:Choice>
  </mc:AlternateContent>
  <bookViews>
    <workbookView xWindow="0" yWindow="0" windowWidth="28800" windowHeight="10815"/>
  </bookViews>
  <sheets>
    <sheet name="transaction_history" sheetId="1" r:id="rId1"/>
  </sheets>
  <calcPr calcId="0"/>
</workbook>
</file>

<file path=xl/calcChain.xml><?xml version="1.0" encoding="utf-8"?>
<calcChain xmlns="http://schemas.openxmlformats.org/spreadsheetml/2006/main">
  <c r="B5" i="1" l="1"/>
  <c r="A10" i="1"/>
  <c r="B10" i="1"/>
  <c r="D10" i="1"/>
  <c r="E10" i="1"/>
  <c r="F10" i="1"/>
  <c r="J10" i="1"/>
  <c r="K10" i="1"/>
  <c r="A11" i="1"/>
  <c r="B11" i="1"/>
  <c r="D11" i="1"/>
  <c r="E11" i="1"/>
  <c r="F11" i="1"/>
  <c r="J11" i="1"/>
  <c r="K11" i="1"/>
  <c r="A12" i="1"/>
  <c r="B12" i="1"/>
  <c r="D12" i="1"/>
  <c r="E12" i="1"/>
  <c r="F12" i="1"/>
  <c r="J12" i="1"/>
  <c r="K12" i="1"/>
  <c r="A13" i="1"/>
  <c r="B13" i="1"/>
  <c r="D13" i="1"/>
  <c r="E13" i="1"/>
  <c r="F13" i="1"/>
  <c r="J13" i="1"/>
  <c r="K13" i="1"/>
  <c r="A14" i="1"/>
  <c r="B14" i="1"/>
  <c r="D14" i="1"/>
  <c r="E14" i="1"/>
  <c r="F14" i="1"/>
  <c r="G14" i="1"/>
  <c r="J14" i="1"/>
  <c r="K14" i="1"/>
  <c r="A15" i="1"/>
  <c r="B15" i="1"/>
  <c r="D15" i="1"/>
  <c r="E15" i="1"/>
  <c r="F15" i="1"/>
  <c r="G15" i="1"/>
  <c r="J15" i="1"/>
  <c r="K15" i="1"/>
  <c r="A16" i="1"/>
  <c r="B16" i="1"/>
  <c r="D16" i="1"/>
  <c r="E16" i="1"/>
  <c r="F16" i="1"/>
  <c r="G16" i="1"/>
  <c r="J16" i="1"/>
  <c r="K16" i="1"/>
  <c r="A17" i="1"/>
  <c r="B17" i="1"/>
  <c r="D17" i="1"/>
  <c r="E17" i="1"/>
  <c r="F17" i="1"/>
  <c r="J17" i="1"/>
  <c r="K17" i="1"/>
  <c r="A18" i="1"/>
  <c r="B18" i="1"/>
  <c r="D18" i="1"/>
  <c r="E18" i="1"/>
  <c r="F18" i="1"/>
  <c r="I18" i="1"/>
  <c r="K18" i="1"/>
  <c r="A19" i="1"/>
  <c r="B19" i="1"/>
  <c r="D19" i="1"/>
  <c r="E19" i="1"/>
  <c r="F19" i="1"/>
  <c r="J19" i="1"/>
  <c r="K19" i="1"/>
  <c r="A20" i="1"/>
  <c r="B20" i="1"/>
  <c r="D20" i="1"/>
  <c r="E20" i="1"/>
  <c r="F20" i="1"/>
  <c r="J20" i="1"/>
  <c r="K20" i="1"/>
  <c r="A21" i="1"/>
  <c r="B21" i="1"/>
  <c r="D21" i="1"/>
  <c r="E21" i="1"/>
  <c r="F21" i="1"/>
  <c r="J21" i="1"/>
  <c r="K21" i="1"/>
  <c r="A22" i="1"/>
  <c r="B22" i="1"/>
  <c r="D22" i="1"/>
  <c r="E22" i="1"/>
  <c r="F22" i="1"/>
  <c r="J22" i="1"/>
  <c r="K22" i="1"/>
  <c r="A23" i="1"/>
  <c r="B23" i="1"/>
  <c r="D23" i="1"/>
  <c r="E23" i="1"/>
  <c r="F23" i="1"/>
  <c r="J23" i="1"/>
  <c r="K23" i="1"/>
  <c r="A24" i="1"/>
  <c r="B24" i="1"/>
  <c r="D24" i="1"/>
  <c r="E24" i="1"/>
  <c r="F24" i="1"/>
  <c r="J24" i="1"/>
  <c r="K24" i="1"/>
</calcChain>
</file>

<file path=xl/sharedStrings.xml><?xml version="1.0" encoding="utf-8"?>
<sst xmlns="http://schemas.openxmlformats.org/spreadsheetml/2006/main" count="32" uniqueCount="19">
  <si>
    <t>Transaction History</t>
  </si>
  <si>
    <t>Date</t>
  </si>
  <si>
    <t>Account Number</t>
  </si>
  <si>
    <t>No</t>
  </si>
  <si>
    <t>Transaction Date</t>
  </si>
  <si>
    <t>Branch Name</t>
  </si>
  <si>
    <t>Transaction Description</t>
  </si>
  <si>
    <t>Reference 1</t>
  </si>
  <si>
    <t>Reference 2</t>
  </si>
  <si>
    <t>Recipient's Reference / Other Payment Details</t>
  </si>
  <si>
    <t>Cheque No</t>
  </si>
  <si>
    <t>Amount</t>
  </si>
  <si>
    <t>Balance</t>
  </si>
  <si>
    <t>Debit</t>
  </si>
  <si>
    <t>Credit</t>
  </si>
  <si>
    <t>ELECTRONIC BANKING SERVICES</t>
  </si>
  <si>
    <t>JALAN IPOH</t>
  </si>
  <si>
    <t>Total Amount: ="30.00"</t>
  </si>
  <si>
    <t>Total Amount: ="66556.41"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</si>
</sst>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workbookViewId="0">
      <selection activeCell="C31" sqref="C31"/>
    </sheetView>
  </sheetViews>
  <sheetFormatPr defaultRowHeight="15" x14ac:dyDescent="0.25"/>
  <cols>
    <col min="1" max="1" width="18.140625" bestFit="1" customWidth="1"/>
    <col min="2" max="2" width="18.5703125" bestFit="1" customWidth="1"/>
    <col min="3" max="3" width="29.7109375" bestFit="1" customWidth="1"/>
    <col min="4" max="4" width="22.5703125" bestFit="1" customWidth="1"/>
    <col min="5" max="5" width="22.85546875" bestFit="1" customWidth="1"/>
    <col min="6" max="6" width="61.28515625" bestFit="1" customWidth="1"/>
    <col min="7" max="7" width="43.140625" bestFit="1" customWidth="1"/>
    <col min="8" max="8" width="10.85546875" bestFit="1" customWidth="1"/>
    <col min="9" max="9" width="21.7109375" bestFit="1" customWidth="1"/>
  </cols>
  <sheetData>
    <row r="1" spans="1:11" x14ac:dyDescent="0.25">
      <c r="A1" t="s">
        <v>0</v>
      </c>
    </row>
    <row r="4" spans="1:11" x14ac:dyDescent="0.25">
      <c r="A4" t="s">
        <v>1</v>
      </c>
      <c r="B4" s="1">
        <v>46302</v>
      </c>
    </row>
    <row r="5" spans="1:11" x14ac:dyDescent="0.25">
      <c r="A5" t="s">
        <v>2</v>
      </c>
      <c r="B5" t="str">
        <f>"140280010096093"</f>
        <v>140280010096093</v>
      </c>
    </row>
    <row r="8" spans="1:11" x14ac:dyDescent="0.25">
      <c r="A8" t="s">
        <v>3</v>
      </c>
      <c r="B8" t="s">
        <v>4</v>
      </c>
      <c r="C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K8" t="s">
        <v>12</v>
      </c>
    </row>
    <row r="9" spans="1:11" x14ac:dyDescent="0.25">
      <c r="I9" t="s">
        <v>13</v>
      </c>
      <c r="J9" t="s">
        <v>14</v>
      </c>
    </row>
    <row r="10" spans="1:11" x14ac:dyDescent="0.25">
      <c r="A10" t="str">
        <f>"1"</f>
        <v>1</v>
      </c>
      <c r="B10" t="str">
        <f>"29/08/2026 07:30:49"</f>
        <v>29/08/2026 07:30:49</v>
      </c>
      <c r="C10" t="s">
        <v>15</v>
      </c>
      <c r="D10" t="str">
        <f>"DuitNow CR Trf CA"</f>
        <v>DuitNow CR Trf CA</v>
      </c>
      <c r="E10" t="str">
        <f>"Fund Transfer"</f>
        <v>Fund Transfer</v>
      </c>
      <c r="F10" t="str">
        <f>"YOSEPIN ISABELA/RPP260829309437120"</f>
        <v>YOSEPIN ISABELA/RPP260829309437120</v>
      </c>
      <c r="J10" t="str">
        <f>"7000.00"</f>
        <v>7000.00</v>
      </c>
      <c r="K10" t="str">
        <f>"513462.31"</f>
        <v>513462.31</v>
      </c>
    </row>
    <row r="11" spans="1:11" x14ac:dyDescent="0.25">
      <c r="A11" t="str">
        <f>"2"</f>
        <v>2</v>
      </c>
      <c r="B11" t="str">
        <f>"28/08/2026 17:25:37"</f>
        <v>28/08/2026 17:25:37</v>
      </c>
      <c r="C11" t="s">
        <v>16</v>
      </c>
      <c r="D11" t="str">
        <f>"CDM CA CSH DEP-W/O C"</f>
        <v>CDM CA CSH DEP-W/O C</v>
      </c>
      <c r="E11" t="str">
        <f>""</f>
        <v/>
      </c>
      <c r="F11" t="str">
        <f>""</f>
        <v/>
      </c>
      <c r="J11" t="str">
        <f>"2670.00"</f>
        <v>2670.00</v>
      </c>
      <c r="K11" t="str">
        <f>"506462.31"</f>
        <v>506462.31</v>
      </c>
    </row>
    <row r="12" spans="1:11" x14ac:dyDescent="0.25">
      <c r="A12" t="str">
        <f>"3"</f>
        <v>3</v>
      </c>
      <c r="B12" t="str">
        <f>"28/08/2026 17:23:11"</f>
        <v>28/08/2026 17:23:11</v>
      </c>
      <c r="C12" t="s">
        <v>16</v>
      </c>
      <c r="D12" t="str">
        <f>"CDM CA CSH DEP-W/O C"</f>
        <v>CDM CA CSH DEP-W/O C</v>
      </c>
      <c r="E12" t="str">
        <f>""</f>
        <v/>
      </c>
      <c r="F12" t="str">
        <f>""</f>
        <v/>
      </c>
      <c r="J12" t="str">
        <f>"8150.00"</f>
        <v>8150.00</v>
      </c>
      <c r="K12" t="str">
        <f>"503792.31"</f>
        <v>503792.31</v>
      </c>
    </row>
    <row r="13" spans="1:11" x14ac:dyDescent="0.25">
      <c r="A13" t="str">
        <f>"4"</f>
        <v>4</v>
      </c>
      <c r="B13" t="str">
        <f>"28/08/2026 17:21:31"</f>
        <v>28/08/2026 17:21:31</v>
      </c>
      <c r="C13" t="s">
        <v>16</v>
      </c>
      <c r="D13" t="str">
        <f>"CDM CA CSH DEP-W/O C"</f>
        <v>CDM CA CSH DEP-W/O C</v>
      </c>
      <c r="E13" t="str">
        <f>""</f>
        <v/>
      </c>
      <c r="F13" t="str">
        <f>""</f>
        <v/>
      </c>
      <c r="J13" t="str">
        <f>"5950.00"</f>
        <v>5950.00</v>
      </c>
      <c r="K13" t="str">
        <f>"495642.31"</f>
        <v>495642.31</v>
      </c>
    </row>
    <row r="14" spans="1:11" x14ac:dyDescent="0.25">
      <c r="A14" t="str">
        <f>"5"</f>
        <v>5</v>
      </c>
      <c r="B14" t="str">
        <f>"28/08/2026 15:57:30"</f>
        <v>28/08/2026 15:57:30</v>
      </c>
      <c r="C14" t="s">
        <v>15</v>
      </c>
      <c r="D14" t="str">
        <f>"DuitNow CR Trf CA"</f>
        <v>DuitNow CR Trf CA</v>
      </c>
      <c r="E14" t="str">
        <f>"Inara Group"</f>
        <v>Inara Group</v>
      </c>
      <c r="F14" t="str">
        <f>"Javinci Berkat Kreat/RPP260828309298341/INARA GROUP SDN. BHD"</f>
        <v>Javinci Berkat Kreat/RPP260828309298341/INARA GROUP SDN. BHD</v>
      </c>
      <c r="G14" t="str">
        <f>"Javinci Berkat Kreat/Inara Group"</f>
        <v>Javinci Berkat Kreat/Inara Group</v>
      </c>
      <c r="J14" t="str">
        <f>"4038.24"</f>
        <v>4038.24</v>
      </c>
      <c r="K14" t="str">
        <f>"489692.31"</f>
        <v>489692.31</v>
      </c>
    </row>
    <row r="15" spans="1:11" x14ac:dyDescent="0.25">
      <c r="A15" t="str">
        <f>"6"</f>
        <v>6</v>
      </c>
      <c r="B15" t="str">
        <f>"28/08/2026 15:57:19"</f>
        <v>28/08/2026 15:57:19</v>
      </c>
      <c r="C15" t="s">
        <v>15</v>
      </c>
      <c r="D15" t="str">
        <f>"DuitNow CR Trf CA"</f>
        <v>DuitNow CR Trf CA</v>
      </c>
      <c r="E15" t="str">
        <f>"inara group"</f>
        <v>inara group</v>
      </c>
      <c r="F15" t="str">
        <f>"Javinci Skincare/RPP260828309298259/INARA GROUP SDN. BHD"</f>
        <v>Javinci Skincare/RPP260828309298259/INARA GROUP SDN. BHD</v>
      </c>
      <c r="G15" t="str">
        <f>"Javinci Skincare/inara group"</f>
        <v>Javinci Skincare/inara group</v>
      </c>
      <c r="J15" t="str">
        <f>"2393.36"</f>
        <v>2393.36</v>
      </c>
      <c r="K15" t="str">
        <f>"485654.07"</f>
        <v>485654.07</v>
      </c>
    </row>
    <row r="16" spans="1:11" x14ac:dyDescent="0.25">
      <c r="A16" t="str">
        <f>"7"</f>
        <v>7</v>
      </c>
      <c r="B16" t="str">
        <f>"28/08/2026 15:57:04"</f>
        <v>28/08/2026 15:57:04</v>
      </c>
      <c r="C16" t="s">
        <v>15</v>
      </c>
      <c r="D16" t="str">
        <f>"DuitNow CR Trf CA"</f>
        <v>DuitNow CR Trf CA</v>
      </c>
      <c r="E16" t="str">
        <f>"inara group"</f>
        <v>inara group</v>
      </c>
      <c r="F16" t="str">
        <f>"Sherbeauty/RPP260828309298185/INARA GROUP SDN. BHD"</f>
        <v>Sherbeauty/RPP260828309298185/INARA GROUP SDN. BHD</v>
      </c>
      <c r="G16" t="str">
        <f>"Sherbeauty/inara group"</f>
        <v>Sherbeauty/inara group</v>
      </c>
      <c r="J16" t="str">
        <f>"3136.81"</f>
        <v>3136.81</v>
      </c>
      <c r="K16" t="str">
        <f>"483260.71"</f>
        <v>483260.71</v>
      </c>
    </row>
    <row r="17" spans="1:11" x14ac:dyDescent="0.25">
      <c r="A17" t="str">
        <f>"8"</f>
        <v>8</v>
      </c>
      <c r="B17" t="str">
        <f>"28/08/2026 15:52:13"</f>
        <v>28/08/2026 15:52:13</v>
      </c>
      <c r="C17" t="s">
        <v>15</v>
      </c>
      <c r="D17" t="str">
        <f>"DuitNow CR Trf CA"</f>
        <v>DuitNow CR Trf CA</v>
      </c>
      <c r="E17" t="str">
        <f>"MS10000002039188533M"</f>
        <v>MS10000002039188533M</v>
      </c>
      <c r="F17" t="str">
        <f>"FLY TRED RESOURCES S/RPP260828309296273"</f>
        <v>FLY TRED RESOURCES S/RPP260828309296273</v>
      </c>
      <c r="J17" t="str">
        <f>"3518.00"</f>
        <v>3518.00</v>
      </c>
      <c r="K17" t="str">
        <f>"480123.90"</f>
        <v>480123.90</v>
      </c>
    </row>
    <row r="18" spans="1:11" x14ac:dyDescent="0.25">
      <c r="A18" t="str">
        <f>"9"</f>
        <v>9</v>
      </c>
      <c r="B18" t="str">
        <f>"28/08/2026 12:12:10"</f>
        <v>28/08/2026 12:12:10</v>
      </c>
      <c r="C18" t="s">
        <v>15</v>
      </c>
      <c r="D18" t="str">
        <f>"IB2G CA Common Chrg"</f>
        <v>IB2G CA Common Chrg</v>
      </c>
      <c r="E18" t="str">
        <f>"AOB Monthly Charges"</f>
        <v>AOB Monthly Charges</v>
      </c>
      <c r="F18" t="str">
        <f>"AOBMC28082026584241"</f>
        <v>AOBMC28082026584241</v>
      </c>
      <c r="I18" t="str">
        <f>"30.00"</f>
        <v>30.00</v>
      </c>
      <c r="K18" t="str">
        <f>"476605.90"</f>
        <v>476605.90</v>
      </c>
    </row>
    <row r="19" spans="1:11" x14ac:dyDescent="0.25">
      <c r="A19" t="str">
        <f>"10"</f>
        <v>10</v>
      </c>
      <c r="B19" t="str">
        <f>"27/08/2026 14:38:23"</f>
        <v>27/08/2026 14:38:23</v>
      </c>
      <c r="C19" t="s">
        <v>16</v>
      </c>
      <c r="D19" t="str">
        <f t="shared" ref="D19:D24" si="0">"CDM CA CSH DEP-W/O C"</f>
        <v>CDM CA CSH DEP-W/O C</v>
      </c>
      <c r="E19" t="str">
        <f>""</f>
        <v/>
      </c>
      <c r="F19" t="str">
        <f>""</f>
        <v/>
      </c>
      <c r="J19" t="str">
        <f>"3900.00"</f>
        <v>3900.00</v>
      </c>
      <c r="K19" t="str">
        <f>"476635.90"</f>
        <v>476635.90</v>
      </c>
    </row>
    <row r="20" spans="1:11" x14ac:dyDescent="0.25">
      <c r="A20" t="str">
        <f>"11"</f>
        <v>11</v>
      </c>
      <c r="B20" t="str">
        <f>"27/08/2026 14:34:10"</f>
        <v>27/08/2026 14:34:10</v>
      </c>
      <c r="C20" t="s">
        <v>16</v>
      </c>
      <c r="D20" t="str">
        <f t="shared" si="0"/>
        <v>CDM CA CSH DEP-W/O C</v>
      </c>
      <c r="E20" t="str">
        <f>""</f>
        <v/>
      </c>
      <c r="F20" t="str">
        <f>""</f>
        <v/>
      </c>
      <c r="J20" t="str">
        <f>"5000.00"</f>
        <v>5000.00</v>
      </c>
      <c r="K20" t="str">
        <f>"472735.90"</f>
        <v>472735.90</v>
      </c>
    </row>
    <row r="21" spans="1:11" x14ac:dyDescent="0.25">
      <c r="A21" t="str">
        <f>"12"</f>
        <v>12</v>
      </c>
      <c r="B21" t="str">
        <f>"27/08/2026 14:31:56"</f>
        <v>27/08/2026 14:31:56</v>
      </c>
      <c r="C21" t="s">
        <v>16</v>
      </c>
      <c r="D21" t="str">
        <f t="shared" si="0"/>
        <v>CDM CA CSH DEP-W/O C</v>
      </c>
      <c r="E21" t="str">
        <f>""</f>
        <v/>
      </c>
      <c r="F21" t="str">
        <f>""</f>
        <v/>
      </c>
      <c r="J21" t="str">
        <f>"5650.00"</f>
        <v>5650.00</v>
      </c>
      <c r="K21" t="str">
        <f>"467735.90"</f>
        <v>467735.90</v>
      </c>
    </row>
    <row r="22" spans="1:11" x14ac:dyDescent="0.25">
      <c r="A22" t="str">
        <f>"13"</f>
        <v>13</v>
      </c>
      <c r="B22" t="str">
        <f>"27/08/2026 12:53:41"</f>
        <v>27/08/2026 12:53:41</v>
      </c>
      <c r="C22" t="s">
        <v>16</v>
      </c>
      <c r="D22" t="str">
        <f t="shared" si="0"/>
        <v>CDM CA CSH DEP-W/O C</v>
      </c>
      <c r="E22" t="str">
        <f>""</f>
        <v/>
      </c>
      <c r="F22" t="str">
        <f>""</f>
        <v/>
      </c>
      <c r="J22" t="str">
        <f>"1300.00"</f>
        <v>1300.00</v>
      </c>
      <c r="K22" t="str">
        <f>"462085.90"</f>
        <v>462085.90</v>
      </c>
    </row>
    <row r="23" spans="1:11" x14ac:dyDescent="0.25">
      <c r="A23" t="str">
        <f>"14"</f>
        <v>14</v>
      </c>
      <c r="B23" t="str">
        <f>"27/08/2026 12:51:47"</f>
        <v>27/08/2026 12:51:47</v>
      </c>
      <c r="C23" t="s">
        <v>16</v>
      </c>
      <c r="D23" t="str">
        <f t="shared" si="0"/>
        <v>CDM CA CSH DEP-W/O C</v>
      </c>
      <c r="E23" t="str">
        <f>""</f>
        <v/>
      </c>
      <c r="F23" t="str">
        <f>""</f>
        <v/>
      </c>
      <c r="J23" t="str">
        <f>"7250.00"</f>
        <v>7250.00</v>
      </c>
      <c r="K23" t="str">
        <f>"460785.90"</f>
        <v>460785.90</v>
      </c>
    </row>
    <row r="24" spans="1:11" x14ac:dyDescent="0.25">
      <c r="A24" t="str">
        <f>"15"</f>
        <v>15</v>
      </c>
      <c r="B24" t="str">
        <f>"27/08/2026 12:50:07"</f>
        <v>27/08/2026 12:50:07</v>
      </c>
      <c r="C24" t="s">
        <v>16</v>
      </c>
      <c r="D24" t="str">
        <f t="shared" si="0"/>
        <v>CDM CA CSH DEP-W/O C</v>
      </c>
      <c r="E24" t="str">
        <f>""</f>
        <v/>
      </c>
      <c r="F24" t="str">
        <f>""</f>
        <v/>
      </c>
      <c r="J24" t="str">
        <f>"6600.00"</f>
        <v>6600.00</v>
      </c>
      <c r="K24" t="str">
        <f>"453535.90"</f>
        <v>453535.90</v>
      </c>
    </row>
    <row r="25" spans="1:11" x14ac:dyDescent="0.25">
      <c r="I25" t="s">
        <v>17</v>
      </c>
      <c r="J2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transaction_history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MIR-FINANCE</dc:creator>
  <cp:lastModifiedBy>MIR-FINANCE</cp:lastModifiedBy>
  <dcterms:created xsi:type="dcterms:W3CDTF">2026-10-07T06:29:04Z</dcterms:created>
  <dcterms:modified xsi:type="dcterms:W3CDTF">2026-10-07T06:29:29Z</dcterms:modified>
</cp:coreProperties>
</file>