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IR-FINANCE\Desktop\"/>
    </mc:Choice>
  </mc:AlternateContent>
  <bookViews>
    <workbookView xWindow="0" yWindow="0" windowWidth="28800" windowHeight="10815"/>
  </bookViews>
  <sheets>
    <sheet name="3207069824Statement" sheetId="1" r:id="rId1"/>
  </sheets>
  <calcPr calcId="0"/>
</workbook>
</file>

<file path=xl/calcChain.xml><?xml version="1.0" encoding="utf-8"?>
<calcChain xmlns="http://schemas.openxmlformats.org/spreadsheetml/2006/main">
  <c r="A19" i="1" l="1"/>
  <c r="B19" i="1"/>
  <c r="C19" i="1"/>
  <c r="F19" i="1"/>
  <c r="G19" i="1"/>
  <c r="H19" i="1"/>
  <c r="I19" i="1"/>
  <c r="J19" i="1"/>
  <c r="K19" i="1"/>
  <c r="A20" i="1"/>
  <c r="B20" i="1"/>
  <c r="C20" i="1"/>
  <c r="F20" i="1"/>
  <c r="G20" i="1"/>
  <c r="H20" i="1"/>
  <c r="I20" i="1"/>
  <c r="J20" i="1"/>
  <c r="K20" i="1"/>
  <c r="A21" i="1"/>
  <c r="B21" i="1"/>
  <c r="C21" i="1"/>
  <c r="F21" i="1"/>
  <c r="G21" i="1"/>
  <c r="H21" i="1"/>
  <c r="I21" i="1"/>
  <c r="J21" i="1"/>
  <c r="K21" i="1"/>
  <c r="A22" i="1"/>
  <c r="B22" i="1"/>
  <c r="C22" i="1"/>
  <c r="F22" i="1"/>
  <c r="G22" i="1"/>
  <c r="H22" i="1"/>
  <c r="I22" i="1"/>
  <c r="J22" i="1"/>
  <c r="K22" i="1"/>
  <c r="A23" i="1"/>
  <c r="B23" i="1"/>
  <c r="C23" i="1"/>
  <c r="F23" i="1"/>
  <c r="G23" i="1"/>
  <c r="H23" i="1"/>
  <c r="I23" i="1"/>
  <c r="J23" i="1"/>
  <c r="K23" i="1"/>
  <c r="A24" i="1"/>
  <c r="B24" i="1"/>
  <c r="C24" i="1"/>
  <c r="F24" i="1"/>
  <c r="G24" i="1"/>
  <c r="H24" i="1"/>
  <c r="I24" i="1"/>
  <c r="J24" i="1"/>
  <c r="K24" i="1"/>
  <c r="A25" i="1"/>
  <c r="B25" i="1"/>
  <c r="C25" i="1"/>
  <c r="F25" i="1"/>
  <c r="G25" i="1"/>
  <c r="H25" i="1"/>
  <c r="I25" i="1"/>
  <c r="J25" i="1"/>
  <c r="K25" i="1"/>
  <c r="A26" i="1"/>
  <c r="B26" i="1"/>
  <c r="C26" i="1"/>
  <c r="F26" i="1"/>
  <c r="G26" i="1"/>
  <c r="H26" i="1"/>
  <c r="I26" i="1"/>
  <c r="J26" i="1"/>
  <c r="K26" i="1"/>
</calcChain>
</file>

<file path=xl/sharedStrings.xml><?xml version="1.0" encoding="utf-8"?>
<sst xmlns="http://schemas.openxmlformats.org/spreadsheetml/2006/main" count="38" uniqueCount="34">
  <si>
    <t>Account Number:</t>
  </si>
  <si>
    <t>Account Name:</t>
  </si>
  <si>
    <t>MANDIRI INTERNATIONAL REMITTANCE SDN BHD</t>
  </si>
  <si>
    <t>Account Type:</t>
  </si>
  <si>
    <t>ACE ENTERPRISE</t>
  </si>
  <si>
    <t>From Date:</t>
  </si>
  <si>
    <t>To Date:</t>
  </si>
  <si>
    <t>Available Balance:</t>
  </si>
  <si>
    <t>MYR 1179892.07</t>
  </si>
  <si>
    <t>Current Balance:</t>
  </si>
  <si>
    <t>Generation Date:</t>
  </si>
  <si>
    <t>Generation Time:</t>
  </si>
  <si>
    <t>Interest Paid YTD :</t>
  </si>
  <si>
    <t>MYR 525.74</t>
  </si>
  <si>
    <t>Interest Accrual :</t>
  </si>
  <si>
    <t>MYR 176.74</t>
  </si>
  <si>
    <t>Hold Amount :</t>
  </si>
  <si>
    <t>MYR 0.00</t>
  </si>
  <si>
    <t>One Day Float :</t>
  </si>
  <si>
    <t>Online Float :</t>
  </si>
  <si>
    <t>OD Limit :</t>
  </si>
  <si>
    <t>Transaction Type :</t>
  </si>
  <si>
    <t>All Transaction</t>
  </si>
  <si>
    <t>Trn. Date</t>
  </si>
  <si>
    <t>Cheque No/Ref No</t>
  </si>
  <si>
    <t>Transaction Description</t>
  </si>
  <si>
    <t>Debit Amount</t>
  </si>
  <si>
    <t>Credit Amount</t>
  </si>
  <si>
    <t>Reference 1</t>
  </si>
  <si>
    <t>Reference 2</t>
  </si>
  <si>
    <t>Reference 3</t>
  </si>
  <si>
    <t>Reference 4</t>
  </si>
  <si>
    <t>Reference 5</t>
  </si>
  <si>
    <t>Reference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</si>
</sst>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"/>
  <sheetViews>
    <sheetView tabSelected="1" workbookViewId="0"/>
  </sheetViews>
  <sheetFormatPr defaultRowHeight="15" x14ac:dyDescent="0.25"/>
  <cols>
    <col min="1" max="1" width="17.42578125" bestFit="1" customWidth="1"/>
    <col min="2" max="2" width="45" bestFit="1" customWidth="1"/>
    <col min="3" max="3" width="22.28515625" bestFit="1" customWidth="1"/>
    <col min="4" max="4" width="13.5703125" bestFit="1" customWidth="1"/>
    <col min="5" max="5" width="14.140625" bestFit="1" customWidth="1"/>
    <col min="6" max="6" width="50.85546875" bestFit="1" customWidth="1"/>
    <col min="7" max="7" width="22.85546875" bestFit="1" customWidth="1"/>
    <col min="8" max="8" width="11.5703125" bestFit="1" customWidth="1"/>
    <col min="9" max="9" width="30" bestFit="1" customWidth="1"/>
    <col min="10" max="10" width="34.7109375" bestFit="1" customWidth="1"/>
  </cols>
  <sheetData>
    <row r="1" spans="1:2" x14ac:dyDescent="0.25">
      <c r="A1" t="s">
        <v>0</v>
      </c>
      <c r="B1">
        <v>3207069824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s="1">
        <v>46296</v>
      </c>
    </row>
    <row r="5" spans="1:2" x14ac:dyDescent="0.25">
      <c r="A5" t="s">
        <v>6</v>
      </c>
      <c r="B5" s="1">
        <v>46302</v>
      </c>
    </row>
    <row r="6" spans="1:2" x14ac:dyDescent="0.25">
      <c r="A6" t="s">
        <v>7</v>
      </c>
      <c r="B6" t="s">
        <v>8</v>
      </c>
    </row>
    <row r="7" spans="1:2" x14ac:dyDescent="0.25">
      <c r="A7" t="s">
        <v>9</v>
      </c>
      <c r="B7" t="s">
        <v>8</v>
      </c>
    </row>
    <row r="8" spans="1:2" x14ac:dyDescent="0.25">
      <c r="A8" t="s">
        <v>10</v>
      </c>
      <c r="B8" s="1">
        <v>46302</v>
      </c>
    </row>
    <row r="9" spans="1:2" x14ac:dyDescent="0.25">
      <c r="A9" t="s">
        <v>11</v>
      </c>
      <c r="B9" s="2">
        <v>0.60585648148148141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2" spans="1:2" x14ac:dyDescent="0.25">
      <c r="A12" t="s">
        <v>16</v>
      </c>
      <c r="B12" t="s">
        <v>17</v>
      </c>
    </row>
    <row r="13" spans="1:2" x14ac:dyDescent="0.25">
      <c r="A13" t="s">
        <v>18</v>
      </c>
      <c r="B13" t="s">
        <v>17</v>
      </c>
    </row>
    <row r="14" spans="1:2" x14ac:dyDescent="0.25">
      <c r="A14" t="s">
        <v>19</v>
      </c>
      <c r="B14" t="s">
        <v>17</v>
      </c>
    </row>
    <row r="15" spans="1:2" x14ac:dyDescent="0.25">
      <c r="A15" t="s">
        <v>20</v>
      </c>
      <c r="B15" t="s">
        <v>17</v>
      </c>
    </row>
    <row r="17" spans="1:11" x14ac:dyDescent="0.25">
      <c r="A17" t="s">
        <v>21</v>
      </c>
      <c r="B17" t="s">
        <v>22</v>
      </c>
    </row>
    <row r="18" spans="1:11" x14ac:dyDescent="0.25">
      <c r="A18" t="s">
        <v>23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 t="s">
        <v>29</v>
      </c>
      <c r="H18" t="s">
        <v>30</v>
      </c>
      <c r="I18" t="s">
        <v>31</v>
      </c>
      <c r="J18" t="s">
        <v>32</v>
      </c>
      <c r="K18" t="s">
        <v>33</v>
      </c>
    </row>
    <row r="19" spans="1:11" x14ac:dyDescent="0.25">
      <c r="A19" t="str">
        <f>"01/10/2026"</f>
        <v>01/10/2026</v>
      </c>
      <c r="B19" t="str">
        <f>"003153"</f>
        <v>003153</v>
      </c>
      <c r="C19" t="str">
        <f>"DEP-CASH"</f>
        <v>DEP-CASH</v>
      </c>
      <c r="E19">
        <v>2110</v>
      </c>
      <c r="F19" t="str">
        <f>""</f>
        <v/>
      </c>
      <c r="G19" t="str">
        <f>""</f>
        <v/>
      </c>
      <c r="H19" t="str">
        <f>""</f>
        <v/>
      </c>
      <c r="I19" t="str">
        <f>""</f>
        <v/>
      </c>
      <c r="J19" t="str">
        <f>""</f>
        <v/>
      </c>
      <c r="K19" t="str">
        <f>""</f>
        <v/>
      </c>
    </row>
    <row r="20" spans="1:11" x14ac:dyDescent="0.25">
      <c r="A20" t="str">
        <f>"01/10/2026"</f>
        <v>01/10/2026</v>
      </c>
      <c r="B20" t="str">
        <f>"677605"</f>
        <v>677605</v>
      </c>
      <c r="C20" t="str">
        <f>"TSFR FUND CR-ATM/EFT"</f>
        <v>TSFR FUND CR-ATM/EFT</v>
      </c>
      <c r="E20">
        <v>40000</v>
      </c>
      <c r="F20" t="str">
        <f>"XXXXXX9711          AGENSI PEKERJAAN W P I ("</f>
        <v>XXXXXX9711          AGENSI PEKERJAAN W P I (</v>
      </c>
      <c r="G20" t="str">
        <f>"INV AR2609000009"</f>
        <v>INV AR2609000009</v>
      </c>
      <c r="H20" t="str">
        <f>""</f>
        <v/>
      </c>
      <c r="I20" t="str">
        <f>""</f>
        <v/>
      </c>
      <c r="J20" t="str">
        <f>"&lt;VA&gt;0014780505 MANDIRI/PT SUKSES"</f>
        <v>&lt;VA&gt;0014780505 MANDIRI/PT SUKSES</v>
      </c>
      <c r="K20" t="str">
        <f>""</f>
        <v/>
      </c>
    </row>
    <row r="21" spans="1:11" x14ac:dyDescent="0.25">
      <c r="A21" t="str">
        <f>"01/10/2026"</f>
        <v>01/10/2026</v>
      </c>
      <c r="B21" t="str">
        <f>"000000"</f>
        <v>000000</v>
      </c>
      <c r="C21" t="str">
        <f>"SI CR"</f>
        <v>SI CR</v>
      </c>
      <c r="E21">
        <v>1345.15</v>
      </c>
      <c r="F21" t="str">
        <f>"FROM 3999XXXXXX   BRH 0000197"</f>
        <v>FROM 3999XXXXXX   BRH 0000197</v>
      </c>
      <c r="G21" t="str">
        <f>""</f>
        <v/>
      </c>
      <c r="H21" t="str">
        <f>""</f>
        <v/>
      </c>
      <c r="I21" t="str">
        <f>""</f>
        <v/>
      </c>
      <c r="J21" t="str">
        <f>""</f>
        <v/>
      </c>
      <c r="K21" t="str">
        <f>""</f>
        <v/>
      </c>
    </row>
    <row r="22" spans="1:11" x14ac:dyDescent="0.25">
      <c r="A22" t="str">
        <f>"02/10/2026"</f>
        <v>02/10/2026</v>
      </c>
      <c r="B22" t="str">
        <f>"000000"</f>
        <v>000000</v>
      </c>
      <c r="C22" t="str">
        <f>"SI CR"</f>
        <v>SI CR</v>
      </c>
      <c r="E22">
        <v>2444.9</v>
      </c>
      <c r="F22" t="str">
        <f>"FROM 3999XXXXXX   BRH 0000197"</f>
        <v>FROM 3999XXXXXX   BRH 0000197</v>
      </c>
      <c r="G22" t="str">
        <f>""</f>
        <v/>
      </c>
      <c r="H22" t="str">
        <f>""</f>
        <v/>
      </c>
      <c r="I22" t="str">
        <f>""</f>
        <v/>
      </c>
      <c r="J22" t="str">
        <f>""</f>
        <v/>
      </c>
      <c r="K22" t="str">
        <f>""</f>
        <v/>
      </c>
    </row>
    <row r="23" spans="1:11" x14ac:dyDescent="0.25">
      <c r="A23" t="str">
        <f>"05/10/2026"</f>
        <v>05/10/2026</v>
      </c>
      <c r="B23" t="str">
        <f>"338623"</f>
        <v>338623</v>
      </c>
      <c r="C23" t="str">
        <f>"DUITNOW TRSF CR"</f>
        <v>DUITNOW TRSF CR</v>
      </c>
      <c r="E23">
        <v>22500</v>
      </c>
      <c r="F23" t="str">
        <f>"APMB MANAGEMENT SERVICE  Iriati atri"</f>
        <v>APMB MANAGEMENT SERVICE  Iriati atri</v>
      </c>
      <c r="G23" t="str">
        <f>""</f>
        <v/>
      </c>
      <c r="H23" t="str">
        <f>""</f>
        <v/>
      </c>
      <c r="I23" t="str">
        <f>"0014780505 MANDIRI/PT SUKSES"</f>
        <v>0014780505 MANDIRI/PT SUKSES</v>
      </c>
      <c r="J23" t="str">
        <f>""</f>
        <v/>
      </c>
      <c r="K23" t="str">
        <f>""</f>
        <v/>
      </c>
    </row>
    <row r="24" spans="1:11" x14ac:dyDescent="0.25">
      <c r="A24" t="str">
        <f>"05/10/2026"</f>
        <v>05/10/2026</v>
      </c>
      <c r="B24" t="str">
        <f>"000000"</f>
        <v>000000</v>
      </c>
      <c r="C24" t="str">
        <f>"SI CR"</f>
        <v>SI CR</v>
      </c>
      <c r="E24">
        <v>6450.33</v>
      </c>
      <c r="F24" t="str">
        <f>"FROM 3999XXXXXX   BRH 0000197"</f>
        <v>FROM 3999XXXXXX   BRH 0000197</v>
      </c>
      <c r="G24" t="str">
        <f>""</f>
        <v/>
      </c>
      <c r="H24" t="str">
        <f>""</f>
        <v/>
      </c>
      <c r="I24" t="str">
        <f>""</f>
        <v/>
      </c>
      <c r="J24" t="str">
        <f>""</f>
        <v/>
      </c>
      <c r="K24" t="str">
        <f>""</f>
        <v/>
      </c>
    </row>
    <row r="25" spans="1:11" x14ac:dyDescent="0.25">
      <c r="A25" t="str">
        <f>"06/10/2026"</f>
        <v>06/10/2026</v>
      </c>
      <c r="B25" t="str">
        <f>"437874"</f>
        <v>437874</v>
      </c>
      <c r="C25" t="str">
        <f>"DUITNOW TRSF CR"</f>
        <v>DUITNOW TRSF CR</v>
      </c>
      <c r="E25">
        <v>1961.31</v>
      </c>
      <c r="F25" t="str">
        <f>"NTT DATA ECOMMERCE SOLUTINDES_M46578_06102026"</f>
        <v>NTT DATA ECOMMERCE SOLUTINDES_M46578_06102026</v>
      </c>
      <c r="G25" t="str">
        <f>"NDES_M46578_06102026"</f>
        <v>NDES_M46578_06102026</v>
      </c>
      <c r="H25" t="str">
        <f>""</f>
        <v/>
      </c>
      <c r="I25" t="str">
        <f>""</f>
        <v/>
      </c>
      <c r="J25" t="str">
        <f>""</f>
        <v/>
      </c>
      <c r="K25" t="str">
        <f>""</f>
        <v/>
      </c>
    </row>
    <row r="26" spans="1:11" x14ac:dyDescent="0.25">
      <c r="A26" t="str">
        <f>"06/10/2026"</f>
        <v>06/10/2026</v>
      </c>
      <c r="B26" t="str">
        <f>"000000"</f>
        <v>000000</v>
      </c>
      <c r="C26" t="str">
        <f>"SI CR"</f>
        <v>SI CR</v>
      </c>
      <c r="E26">
        <v>7934.3</v>
      </c>
      <c r="F26" t="str">
        <f>"FROM 3999XXXXXX   BRH 0000197"</f>
        <v>FROM 3999XXXXXX   BRH 0000197</v>
      </c>
      <c r="G26" t="str">
        <f>""</f>
        <v/>
      </c>
      <c r="H26" t="str">
        <f>""</f>
        <v/>
      </c>
      <c r="I26" t="str">
        <f>""</f>
        <v/>
      </c>
      <c r="J26" t="str">
        <f>""</f>
        <v/>
      </c>
      <c r="K26" t="str">
        <f>""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3207069824Statement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MIR-FINANCE</dc:creator>
  <cp:lastModifiedBy>MIR-FINANCE</cp:lastModifiedBy>
  <dcterms:created xsi:type="dcterms:W3CDTF">2026-10-07T06:33:06Z</dcterms:created>
  <dcterms:modified xsi:type="dcterms:W3CDTF">2026-10-07T06:33:06Z</dcterms:modified>
</cp:coreProperties>
</file>